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F79A90F3-A3E6-4B8F-92A0-E8F6FCA5750D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Reporte" sheetId="1" r:id="rId1"/>
    <sheet name="Ventas" sheetId="2" r:id="rId2"/>
    <sheet name="Productos" sheetId="3" r:id="rId3"/>
    <sheet name="Cooperativas" sheetId="4" r:id="rId4"/>
    <sheet name="Compras" sheetId="5" r:id="rId5"/>
    <sheet name="Config" sheetId="6" r:id="rId6"/>
  </sheets>
  <calcPr calcId="191029"/>
</workbook>
</file>

<file path=xl/calcChain.xml><?xml version="1.0" encoding="utf-8"?>
<calcChain xmlns="http://schemas.openxmlformats.org/spreadsheetml/2006/main">
  <c r="G2" i="5" l="1"/>
  <c r="G3" i="5"/>
  <c r="G4" i="3"/>
  <c r="G3" i="3"/>
  <c r="G2" i="3"/>
  <c r="M21" i="1"/>
  <c r="C21" i="1"/>
  <c r="B20" i="1"/>
  <c r="B19" i="1"/>
  <c r="M18" i="1"/>
  <c r="C18" i="1"/>
  <c r="B18" i="1"/>
  <c r="M17" i="1"/>
  <c r="C17" i="1"/>
  <c r="B17" i="1"/>
  <c r="M16" i="1"/>
  <c r="C16" i="1"/>
  <c r="B16" i="1"/>
  <c r="M15" i="1"/>
  <c r="M19" i="1" s="1"/>
  <c r="M20" i="1" s="1"/>
  <c r="C15" i="1"/>
  <c r="B15" i="1"/>
  <c r="C14" i="1"/>
  <c r="B14" i="1"/>
  <c r="N8" i="1"/>
  <c r="L8" i="1"/>
  <c r="J8" i="1"/>
  <c r="G8" i="1"/>
  <c r="D8" i="1"/>
  <c r="A8" i="1"/>
  <c r="A4" i="1"/>
</calcChain>
</file>

<file path=xl/sharedStrings.xml><?xml version="1.0" encoding="utf-8"?>
<sst xmlns="http://schemas.openxmlformats.org/spreadsheetml/2006/main" count="171" uniqueCount="139">
  <si>
    <t>Sistema de gestión empresarial • Guatapo</t>
  </si>
  <si>
    <t>Ventas del periodo</t>
  </si>
  <si>
    <t>Ítems vendidos</t>
  </si>
  <si>
    <t>Beneficio neto</t>
  </si>
  <si>
    <t>Comisión tarjeta</t>
  </si>
  <si>
    <t>Comisión cooperativas</t>
  </si>
  <si>
    <t>Envíos</t>
  </si>
  <si>
    <t>RESUMEN GENERAL</t>
  </si>
  <si>
    <t>Concepto</t>
  </si>
  <si>
    <t>Cantidad</t>
  </si>
  <si>
    <t>Total</t>
  </si>
  <si>
    <t>Notas</t>
  </si>
  <si>
    <t>INDICADORES FINANCIEROS</t>
  </si>
  <si>
    <t>Ventas de contado</t>
  </si>
  <si>
    <t>POS / Ventas normales</t>
  </si>
  <si>
    <t>Indicador</t>
  </si>
  <si>
    <t>Valor</t>
  </si>
  <si>
    <t>Ventas cooperativas</t>
  </si>
  <si>
    <t>Crédito cooperativa</t>
  </si>
  <si>
    <t>Ventas totales</t>
  </si>
  <si>
    <t>Cobros recibidos</t>
  </si>
  <si>
    <t>Pagos registrados</t>
  </si>
  <si>
    <t>Costo de mercancía</t>
  </si>
  <si>
    <t>Compras</t>
  </si>
  <si>
    <t>Entradas de inventario</t>
  </si>
  <si>
    <t>Compras del periodo</t>
  </si>
  <si>
    <t>Productos activos</t>
  </si>
  <si>
    <t>Inventario activo</t>
  </si>
  <si>
    <t>Comisiones + envíos</t>
  </si>
  <si>
    <t>Stock bajo</t>
  </si>
  <si>
    <t>Stock &lt;= mínimo</t>
  </si>
  <si>
    <t>Agotados</t>
  </si>
  <si>
    <t>Stock &lt;= 0</t>
  </si>
  <si>
    <t>Margen bruto</t>
  </si>
  <si>
    <t>Cuentas por cobrar</t>
  </si>
  <si>
    <t>Facturas pendientes</t>
  </si>
  <si>
    <t>Ticket promedio</t>
  </si>
  <si>
    <t>PRODUCTOS MÁS VENDIDOS</t>
  </si>
  <si>
    <t>ALERTAS DE INVENTARIO</t>
  </si>
  <si>
    <t>Producto</t>
  </si>
  <si>
    <t>Categoría</t>
  </si>
  <si>
    <t>Stock</t>
  </si>
  <si>
    <t>Estado</t>
  </si>
  <si>
    <t>iPhone 15 Pro Max</t>
  </si>
  <si>
    <t>USB WiFi</t>
  </si>
  <si>
    <t>Redes</t>
  </si>
  <si>
    <t>Samsung S24 Ultra</t>
  </si>
  <si>
    <t>HDMI VGA</t>
  </si>
  <si>
    <t>Adaptadores</t>
  </si>
  <si>
    <t>AirPods Pro</t>
  </si>
  <si>
    <t>Cable VGA</t>
  </si>
  <si>
    <t>Cables</t>
  </si>
  <si>
    <t>Agotado</t>
  </si>
  <si>
    <t>Cargador 25W</t>
  </si>
  <si>
    <t>Mouse Logitech</t>
  </si>
  <si>
    <t>Accesorios</t>
  </si>
  <si>
    <t>Adaptador USB-C</t>
  </si>
  <si>
    <t>Cargador Samsung</t>
  </si>
  <si>
    <t>Cargadores</t>
  </si>
  <si>
    <t>Día</t>
  </si>
  <si>
    <t>Ventas</t>
  </si>
  <si>
    <t>Fecha</t>
  </si>
  <si>
    <t>Factura</t>
  </si>
  <si>
    <t>Cliente</t>
  </si>
  <si>
    <t>Cooperativa</t>
  </si>
  <si>
    <t>Canal</t>
  </si>
  <si>
    <t>Ítems</t>
  </si>
  <si>
    <t>Beneficio Neto</t>
  </si>
  <si>
    <t>Comisión Tarjeta</t>
  </si>
  <si>
    <t>Comisión Cooperativa</t>
  </si>
  <si>
    <t>Costo Mercancía</t>
  </si>
  <si>
    <t>FAC-000001</t>
  </si>
  <si>
    <t>Carlos Pérez</t>
  </si>
  <si>
    <t>normal</t>
  </si>
  <si>
    <t>paid</t>
  </si>
  <si>
    <t>FAC-000002</t>
  </si>
  <si>
    <t>María Rodríguez</t>
  </si>
  <si>
    <t>COOPSEMA</t>
  </si>
  <si>
    <t>cooperative</t>
  </si>
  <si>
    <t>pending</t>
  </si>
  <si>
    <t>FAC-000003</t>
  </si>
  <si>
    <t>Luis Martínez</t>
  </si>
  <si>
    <t>COOPSET</t>
  </si>
  <si>
    <t>Marca</t>
  </si>
  <si>
    <t>Modelo</t>
  </si>
  <si>
    <t>Costo</t>
  </si>
  <si>
    <t>Valor Inventario</t>
  </si>
  <si>
    <t>Alerta</t>
  </si>
  <si>
    <t>Celulares</t>
  </si>
  <si>
    <t>Apple</t>
  </si>
  <si>
    <t>15 Pro Max</t>
  </si>
  <si>
    <t>Activo</t>
  </si>
  <si>
    <t>OK</t>
  </si>
  <si>
    <t>TP-Link</t>
  </si>
  <si>
    <t>AC600</t>
  </si>
  <si>
    <t>Genérico</t>
  </si>
  <si>
    <t>VGA</t>
  </si>
  <si>
    <t>Facturas</t>
  </si>
  <si>
    <t>Total Facturado</t>
  </si>
  <si>
    <t>Pendiente</t>
  </si>
  <si>
    <t>Cobrado</t>
  </si>
  <si>
    <t>Comisión</t>
  </si>
  <si>
    <t>COOPECOGRAL</t>
  </si>
  <si>
    <t>Proveedor</t>
  </si>
  <si>
    <t>Referencia</t>
  </si>
  <si>
    <t>Productos</t>
  </si>
  <si>
    <t>Unidades</t>
  </si>
  <si>
    <t>Total Compra</t>
  </si>
  <si>
    <t>Proveedor Demo</t>
  </si>
  <si>
    <t>F001-000123</t>
  </si>
  <si>
    <t>Distribuidor X</t>
  </si>
  <si>
    <t>F001-000124</t>
  </si>
  <si>
    <t>Campo</t>
  </si>
  <si>
    <t>Tipo de reporte</t>
  </si>
  <si>
    <t>MENSUAL</t>
  </si>
  <si>
    <t>Fecha inicio</t>
  </si>
  <si>
    <t>Fecha fin</t>
  </si>
  <si>
    <t>Periodo mostrado</t>
  </si>
  <si>
    <t>Julio 2026</t>
  </si>
  <si>
    <t>Generado</t>
  </si>
  <si>
    <t>Negocio</t>
  </si>
  <si>
    <t>Guatapo</t>
  </si>
  <si>
    <t>Sistema</t>
  </si>
  <si>
    <t>CastelNova OS</t>
  </si>
  <si>
    <t>RNC</t>
  </si>
  <si>
    <t>131974661</t>
  </si>
  <si>
    <t>Teléfono</t>
  </si>
  <si>
    <t>809-636-1020</t>
  </si>
  <si>
    <t>Email</t>
  </si>
  <si>
    <t>info@guatapo.com</t>
  </si>
  <si>
    <t>Plantilla</t>
  </si>
  <si>
    <t>Reporte Ejecutivo</t>
  </si>
  <si>
    <t>Moneda</t>
  </si>
  <si>
    <t>RD$</t>
  </si>
  <si>
    <t>Los datos son generados automáticamente desde Guatapo OS</t>
  </si>
  <si>
    <t>16 PRO MAX 256GB</t>
  </si>
  <si>
    <t>Dell latitude 7420</t>
  </si>
  <si>
    <t>Precio Por unidad</t>
  </si>
  <si>
    <t>JULIO 2026 |  8/07/2026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</si>
</sst>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dd/mm/yyyy"/>
    <numFmt numFmtId="165" formatCode="dd/mm/yyyy\ hh:mm\ AM/PM"/>
    <numFmt numFmtId="166" formatCode="&quot;$&quot;#,##0.00"/>
  </numFmts>
  <fonts count="15">
    <font>
      <sz val="11"/>
      <name val="Carlito"/>
    </font>
    <font>
      <b/>
      <sz val="11"/>
      <color rgb="FFFFFFFF"/>
      <name val="Carlito"/>
    </font>
    <font>
      <b/>
      <sz val="24"/>
      <color rgb="FFFFFFFF"/>
      <name val="Carlito"/>
    </font>
    <font>
      <b/>
      <sz val="11"/>
      <color rgb="FFE5E7EB"/>
      <name val="Carlito"/>
    </font>
    <font>
      <b/>
      <sz val="22"/>
      <color rgb="FFB80000"/>
      <name val="Carlito"/>
    </font>
    <font>
      <sz val="11"/>
      <color rgb="FF1F2937"/>
      <name val="Carlito"/>
    </font>
    <font>
      <b/>
      <sz val="13"/>
      <color rgb="FFFFFFFF"/>
      <name val="Carlito"/>
    </font>
    <font>
      <b/>
      <sz val="11"/>
      <color rgb="FF6B7280"/>
      <name val="Carlito"/>
    </font>
    <font>
      <b/>
      <sz val="16"/>
      <color rgb="FF111827"/>
      <name val="Carlito"/>
    </font>
    <font>
      <b/>
      <sz val="16"/>
      <color rgb="FFDC2626"/>
      <name val="Carlito"/>
    </font>
    <font>
      <sz val="11"/>
      <name val="Carlito"/>
    </font>
    <font>
      <b/>
      <sz val="11"/>
      <color theme="5" tint="-0.249977111117893"/>
      <name val="Carlito"/>
    </font>
    <font>
      <b/>
      <sz val="11"/>
      <color rgb="FFC00000"/>
      <name val="Carlito"/>
    </font>
    <font>
      <sz val="11"/>
      <color theme="0"/>
      <name val="Carlito"/>
    </font>
    <font>
      <b/>
      <sz val="18"/>
      <color theme="1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B80000"/>
      </patternFill>
    </fill>
    <fill>
      <patternFill patternType="solid">
        <fgColor rgb="FFECFDF5"/>
      </patternFill>
    </fill>
    <fill>
      <patternFill patternType="solid">
        <fgColor rgb="FFFEF2F2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0" fillId="0" borderId="0" applyFont="0" applyFill="0" applyBorder="0" applyAlignment="0" applyProtection="0"/>
  </cellStyleXfs>
  <cellXfs count="37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10" fontId="0" fillId="0" borderId="0" xfId="0" applyNumberFormat="1"/>
    <xf numFmtId="164" fontId="1" fillId="2" borderId="0" xfId="0" applyNumberFormat="1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44" fontId="0" fillId="0" borderId="0" xfId="1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1" fillId="0" borderId="0" xfId="0" applyFont="1" applyAlignment="1">
      <alignment horizontal="right" indent="1"/>
    </xf>
    <xf numFmtId="0" fontId="12" fillId="0" borderId="0" xfId="0" applyFont="1" applyAlignment="1">
      <alignment horizontal="right" indent="1"/>
    </xf>
    <xf numFmtId="44" fontId="1" fillId="2" borderId="0" xfId="1" applyFont="1" applyFill="1" applyAlignment="1">
      <alignment horizontal="center" vertical="center"/>
    </xf>
    <xf numFmtId="44" fontId="1" fillId="2" borderId="0" xfId="1" applyFont="1" applyFill="1" applyAlignment="1">
      <alignment horizontal="right" vertical="center"/>
    </xf>
    <xf numFmtId="44" fontId="0" fillId="0" borderId="0" xfId="1" applyFont="1" applyAlignment="1">
      <alignment horizontal="right"/>
    </xf>
    <xf numFmtId="14" fontId="0" fillId="0" borderId="0" xfId="0" applyNumberFormat="1"/>
    <xf numFmtId="14" fontId="0" fillId="0" borderId="0" xfId="0" applyNumberFormat="1" applyAlignment="1">
      <alignment horizontal="center"/>
    </xf>
    <xf numFmtId="44" fontId="13" fillId="7" borderId="0" xfId="1" applyFont="1" applyFill="1"/>
    <xf numFmtId="2" fontId="0" fillId="0" borderId="0" xfId="0" applyNumberFormat="1"/>
    <xf numFmtId="0" fontId="6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 wrapText="1"/>
    </xf>
    <xf numFmtId="166" fontId="8" fillId="4" borderId="0" xfId="1" applyNumberFormat="1" applyFont="1" applyFill="1" applyAlignment="1">
      <alignment horizontal="center" vertical="center"/>
    </xf>
    <xf numFmtId="166" fontId="0" fillId="0" borderId="0" xfId="1" applyNumberFormat="1" applyFont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166" fontId="8" fillId="4" borderId="0" xfId="0" applyNumberFormat="1" applyFont="1" applyFill="1" applyAlignment="1">
      <alignment horizontal="center" vertical="center"/>
    </xf>
    <xf numFmtId="166" fontId="0" fillId="0" borderId="0" xfId="0" applyNumberFormat="1"/>
    <xf numFmtId="0" fontId="7" fillId="5" borderId="0" xfId="0" applyFont="1" applyFill="1" applyAlignment="1">
      <alignment horizontal="center" vertical="center" wrapText="1"/>
    </xf>
    <xf numFmtId="166" fontId="9" fillId="5" borderId="0" xfId="0" applyNumberFormat="1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/>
    </xf>
    <xf numFmtId="0" fontId="0" fillId="6" borderId="0" xfId="0" applyFill="1"/>
    <xf numFmtId="0" fontId="3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11">
    <dxf>
      <font>
        <b/>
        <color rgb="FFD97706"/>
      </font>
    </dxf>
    <dxf>
      <font>
        <b/>
        <color rgb="FFDC2626"/>
      </font>
    </dxf>
    <dxf>
      <font>
        <color rgb="FFDC2626"/>
      </font>
    </dxf>
    <dxf>
      <font>
        <color rgb="FFDC2626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right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ES"/>
              <a:t>Ventas por periodo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Ventas</c:v>
          </c:tx>
          <c:spPr>
            <a:ln>
              <a:solidFill>
                <a:schemeClr val="accent6"/>
              </a:solidFill>
            </a:ln>
          </c:spPr>
          <c:invertIfNegative val="1"/>
          <c:cat>
            <c:numRef>
              <c:f>Reporte!$A$35:$A$38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Reporte!$B$35:$B$38</c:f>
              <c:numCache>
                <c:formatCode>_("$"* #,##0.00_);_("$"* \(#,##0.00\);_("$"* "-"??_);_(@_)</c:formatCode>
                <c:ptCount val="4"/>
                <c:pt idx="0">
                  <c:v>2450</c:v>
                </c:pt>
                <c:pt idx="1">
                  <c:v>18500</c:v>
                </c:pt>
                <c:pt idx="2">
                  <c:v>3200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2B-4BE3-8BB7-28E8C3CECD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24423</xdr:colOff>
      <xdr:row>32</xdr:row>
      <xdr:rowOff>73269</xdr:rowOff>
    </xdr:from>
    <xdr:to>
      <xdr:col>13</xdr:col>
      <xdr:colOff>976923</xdr:colOff>
      <xdr:row>52</xdr:row>
      <xdr:rowOff>158750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430208</xdr:colOff>
      <xdr:row>0</xdr:row>
      <xdr:rowOff>191162</xdr:rowOff>
    </xdr:from>
    <xdr:to>
      <xdr:col>13</xdr:col>
      <xdr:colOff>911662</xdr:colOff>
      <xdr:row>0</xdr:row>
      <xdr:rowOff>826162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846C924-2C41-6F9A-022C-988BE29386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50" b="23750"/>
        <a:stretch>
          <a:fillRect/>
        </a:stretch>
      </xdr:blipFill>
      <xdr:spPr>
        <a:xfrm>
          <a:off x="12650963" y="191162"/>
          <a:ext cx="3464756" cy="635000"/>
        </a:xfrm>
        <a:prstGeom prst="rect">
          <a:avLst/>
        </a:prstGeom>
      </xdr:spPr>
    </xdr:pic>
    <xdr:clientData/>
  </xdr:twoCellAnchor>
  <xdr:twoCellAnchor editAs="oneCell">
    <xdr:from>
      <xdr:col>0</xdr:col>
      <xdr:colOff>56865</xdr:colOff>
      <xdr:row>0</xdr:row>
      <xdr:rowOff>0</xdr:rowOff>
    </xdr:from>
    <xdr:to>
      <xdr:col>2</xdr:col>
      <xdr:colOff>418557</xdr:colOff>
      <xdr:row>0</xdr:row>
      <xdr:rowOff>946509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FCBE4E3-3A9F-534A-5510-910462A2C9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021" b="18503"/>
        <a:stretch>
          <a:fillRect/>
        </a:stretch>
      </xdr:blipFill>
      <xdr:spPr>
        <a:xfrm>
          <a:off x="56865" y="0"/>
          <a:ext cx="3033484" cy="94650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entasTable" displayName="VentasTable" ref="A1:M4">
  <tableColumns count="13">
    <tableColumn id="1" xr3:uid="{00000000-0010-0000-0000-000001000000}" name="Fecha" dataDxfId="10"/>
    <tableColumn id="2" xr3:uid="{00000000-0010-0000-0000-000002000000}" name="Factura"/>
    <tableColumn id="3" xr3:uid="{00000000-0010-0000-0000-000003000000}" name="Cliente"/>
    <tableColumn id="4" xr3:uid="{00000000-0010-0000-0000-000004000000}" name="Cooperativa"/>
    <tableColumn id="5" xr3:uid="{00000000-0010-0000-0000-000005000000}" name="Canal"/>
    <tableColumn id="6" xr3:uid="{00000000-0010-0000-0000-000006000000}" name="Estado"/>
    <tableColumn id="7" xr3:uid="{00000000-0010-0000-0000-000007000000}" name="Ítems" dataDxfId="9"/>
    <tableColumn id="8" xr3:uid="{00000000-0010-0000-0000-000008000000}" name="Total" dataCellStyle="Moneda"/>
    <tableColumn id="9" xr3:uid="{00000000-0010-0000-0000-000009000000}" name="Beneficio Neto" dataCellStyle="Moneda"/>
    <tableColumn id="10" xr3:uid="{00000000-0010-0000-0000-00000A000000}" name="Comisión Tarjeta" dataCellStyle="Moneda"/>
    <tableColumn id="11" xr3:uid="{00000000-0010-0000-0000-00000B000000}" name="Comisión Cooperativa" dataDxfId="8" dataCellStyle="Moneda"/>
    <tableColumn id="12" xr3:uid="{00000000-0010-0000-0000-00000C000000}" name="Envíos" dataCellStyle="Moneda"/>
    <tableColumn id="13" xr3:uid="{00000000-0010-0000-0000-00000D000000}" name="Costo Mercancía" dataCellStyle="Moned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ductosTable" displayName="ProductosTable" ref="A1:I4">
  <tableColumns count="9">
    <tableColumn id="1" xr3:uid="{00000000-0010-0000-0100-000001000000}" name="Producto"/>
    <tableColumn id="2" xr3:uid="{00000000-0010-0000-0100-000002000000}" name="Categoría"/>
    <tableColumn id="3" xr3:uid="{00000000-0010-0000-0100-000003000000}" name="Marca"/>
    <tableColumn id="4" xr3:uid="{00000000-0010-0000-0100-000004000000}" name="Modelo"/>
    <tableColumn id="5" xr3:uid="{00000000-0010-0000-0100-000005000000}" name="Stock" dataDxfId="7"/>
    <tableColumn id="6" xr3:uid="{00000000-0010-0000-0100-000006000000}" name="Costo" dataCellStyle="Moneda"/>
    <tableColumn id="7" xr3:uid="{00000000-0010-0000-0100-000007000000}" name="Valor Inventario" dataCellStyle="Moneda"/>
    <tableColumn id="8" xr3:uid="{00000000-0010-0000-0100-000008000000}" name="Estado"/>
    <tableColumn id="9" xr3:uid="{00000000-0010-0000-0100-000009000000}" name="Aler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ooperativasTable" displayName="CooperativasTable" ref="A1:F4">
  <tableColumns count="6">
    <tableColumn id="1" xr3:uid="{00000000-0010-0000-0200-000001000000}" name="Cooperativa"/>
    <tableColumn id="2" xr3:uid="{00000000-0010-0000-0200-000002000000}" name="Facturas"/>
    <tableColumn id="3" xr3:uid="{00000000-0010-0000-0200-000003000000}" name="Total Facturado" dataCellStyle="Moneda"/>
    <tableColumn id="4" xr3:uid="{00000000-0010-0000-0200-000004000000}" name="Pendiente" dataCellStyle="Moneda"/>
    <tableColumn id="5" xr3:uid="{00000000-0010-0000-0200-000005000000}" name="Cobrado" dataCellStyle="Moneda"/>
    <tableColumn id="6" xr3:uid="{00000000-0010-0000-0200-000006000000}" name="Comisión" dataCellStyle="Moned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omprasTable" displayName="ComprasTable" ref="A1:G3">
  <tableColumns count="7">
    <tableColumn id="1" xr3:uid="{00000000-0010-0000-0300-000001000000}" name="Fecha"/>
    <tableColumn id="2" xr3:uid="{00000000-0010-0000-0300-000002000000}" name="Proveedor"/>
    <tableColumn id="3" xr3:uid="{00000000-0010-0000-0300-000003000000}" name="Referencia"/>
    <tableColumn id="4" xr3:uid="{00000000-0010-0000-0300-000004000000}" name="Productos"/>
    <tableColumn id="5" xr3:uid="{00000000-0010-0000-0300-000005000000}" name="Unidades" dataDxfId="6"/>
    <tableColumn id="6" xr3:uid="{00000000-0010-0000-0300-000006000000}" name="Precio Por unidad" dataDxfId="5" dataCellStyle="Moneda"/>
    <tableColumn id="7" xr3:uid="{6313484E-ACDF-47FB-AC7A-4B450C6EBFD2}" name="Total Compra" dataDxfId="4" dataCellStyle="Moneda">
      <calculatedColumnFormula>ComprasTable[[#This Row],[Precio Por unidad]]*ComprasTable[[#This Row],[Unidades]]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5"/>
  <sheetViews>
    <sheetView tabSelected="1" topLeftCell="A17" zoomScale="53" workbookViewId="0">
      <selection activeCell="H57" sqref="H57"/>
    </sheetView>
  </sheetViews>
  <sheetFormatPr baseColWidth="10" defaultColWidth="8.6640625" defaultRowHeight="14"/>
  <cols>
    <col min="1" max="1" width="22" customWidth="1"/>
    <col min="2" max="2" width="13" customWidth="1"/>
    <col min="3" max="3" width="14.08203125" customWidth="1"/>
    <col min="4" max="4" width="21.75" customWidth="1"/>
    <col min="5" max="5" width="13" customWidth="1"/>
    <col min="6" max="6" width="21.25" customWidth="1"/>
    <col min="7" max="7" width="7.08203125" customWidth="1"/>
    <col min="8" max="8" width="22" customWidth="1"/>
    <col min="9" max="14" width="13" customWidth="1"/>
  </cols>
  <sheetData>
    <row r="1" spans="1:14" ht="77" customHeight="1">
      <c r="A1" s="31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</row>
    <row r="2" spans="1:14">
      <c r="A2" s="33" t="s">
        <v>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4" spans="1:14" ht="28">
      <c r="A4" s="34" t="str">
        <f>"REPORTE "&amp;Config!B2</f>
        <v>REPORTE MENSUAL</v>
      </c>
      <c r="B4" s="20"/>
      <c r="C4" s="20"/>
      <c r="D4" s="20"/>
      <c r="E4" s="20"/>
      <c r="F4" s="20"/>
      <c r="G4" s="20"/>
      <c r="H4" s="20"/>
      <c r="J4" s="36" t="s">
        <v>138</v>
      </c>
      <c r="K4" s="36"/>
      <c r="L4" s="36"/>
      <c r="M4" s="36"/>
      <c r="N4" s="36"/>
    </row>
    <row r="5" spans="1:14">
      <c r="A5" s="35"/>
      <c r="B5" s="20"/>
      <c r="C5" s="20"/>
      <c r="D5" s="20"/>
      <c r="E5" s="20"/>
      <c r="F5" s="20"/>
      <c r="G5" s="20"/>
      <c r="H5" s="20"/>
    </row>
    <row r="7" spans="1:14">
      <c r="A7" s="23" t="s">
        <v>1</v>
      </c>
      <c r="B7" s="20"/>
      <c r="C7" s="20"/>
      <c r="D7" s="23" t="s">
        <v>2</v>
      </c>
      <c r="E7" s="20"/>
      <c r="F7" s="20"/>
      <c r="G7" s="23" t="s">
        <v>3</v>
      </c>
      <c r="H7" s="20"/>
      <c r="I7" s="20"/>
      <c r="J7" s="29" t="s">
        <v>4</v>
      </c>
      <c r="K7" s="20"/>
      <c r="L7" s="29" t="s">
        <v>5</v>
      </c>
      <c r="M7" s="20"/>
      <c r="N7" s="6" t="s">
        <v>6</v>
      </c>
    </row>
    <row r="8" spans="1:14">
      <c r="A8" s="24">
        <f>SUM(Ventas!H:H)</f>
        <v>24150</v>
      </c>
      <c r="B8" s="25"/>
      <c r="C8" s="25"/>
      <c r="D8" s="26">
        <f>SUM(Ventas!G:G)</f>
        <v>6</v>
      </c>
      <c r="E8" s="20"/>
      <c r="F8" s="20"/>
      <c r="G8" s="27">
        <f>SUM(Ventas!I:I)</f>
        <v>5650</v>
      </c>
      <c r="H8" s="28"/>
      <c r="I8" s="28"/>
      <c r="J8" s="30">
        <f>SUM(Ventas!J:J)</f>
        <v>0</v>
      </c>
      <c r="K8" s="28"/>
      <c r="L8" s="30">
        <f>SUM(Ventas!K:K)</f>
        <v>1070</v>
      </c>
      <c r="M8" s="28"/>
      <c r="N8" s="30">
        <f>SUM(Ventas!L:L)</f>
        <v>280</v>
      </c>
    </row>
    <row r="9" spans="1:14">
      <c r="A9" s="25"/>
      <c r="B9" s="25"/>
      <c r="C9" s="25"/>
      <c r="D9" s="20"/>
      <c r="E9" s="20"/>
      <c r="F9" s="20"/>
      <c r="G9" s="28"/>
      <c r="H9" s="28"/>
      <c r="I9" s="28"/>
      <c r="J9" s="28"/>
      <c r="K9" s="28"/>
      <c r="L9" s="28"/>
      <c r="M9" s="28"/>
      <c r="N9" s="28"/>
    </row>
    <row r="12" spans="1:14" ht="16.5">
      <c r="A12" s="19" t="s">
        <v>7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</row>
    <row r="13" spans="1:14">
      <c r="A13" s="1" t="s">
        <v>8</v>
      </c>
      <c r="B13" s="1" t="s">
        <v>9</v>
      </c>
      <c r="C13" s="1" t="s">
        <v>10</v>
      </c>
      <c r="D13" s="1" t="s">
        <v>11</v>
      </c>
      <c r="F13" s="21" t="s">
        <v>12</v>
      </c>
      <c r="G13" s="20"/>
      <c r="H13" s="20"/>
      <c r="I13" s="20"/>
      <c r="J13" s="20"/>
      <c r="K13" s="20"/>
      <c r="L13" s="20"/>
      <c r="M13" s="20"/>
      <c r="N13" s="20"/>
    </row>
    <row r="14" spans="1:14">
      <c r="A14" t="s">
        <v>13</v>
      </c>
      <c r="B14">
        <f>COUNTIF(Ventas!E:E,"normal")</f>
        <v>1</v>
      </c>
      <c r="C14" s="7">
        <f>SUMIF(Ventas!E:E,"normal",Ventas!H:H)</f>
        <v>2450</v>
      </c>
      <c r="D14" t="s">
        <v>14</v>
      </c>
      <c r="F14" t="s">
        <v>15</v>
      </c>
      <c r="M14" t="s">
        <v>16</v>
      </c>
    </row>
    <row r="15" spans="1:14">
      <c r="A15" t="s">
        <v>17</v>
      </c>
      <c r="B15">
        <f>COUNTIF(Ventas!E:E,"cooperative")</f>
        <v>2</v>
      </c>
      <c r="C15" s="7">
        <f>SUMIF(Ventas!E:E,"cooperative",Ventas!H:H)</f>
        <v>21700</v>
      </c>
      <c r="D15" t="s">
        <v>18</v>
      </c>
      <c r="F15" t="s">
        <v>19</v>
      </c>
      <c r="M15">
        <f>SUM(Ventas!H:H)</f>
        <v>24150</v>
      </c>
    </row>
    <row r="16" spans="1:14">
      <c r="A16" t="s">
        <v>20</v>
      </c>
      <c r="B16">
        <f>COUNTA(Cooperativas!A2:A200)</f>
        <v>3</v>
      </c>
      <c r="C16" s="7">
        <f>SUM(Cooperativas!E:E)</f>
        <v>383000</v>
      </c>
      <c r="D16" t="s">
        <v>21</v>
      </c>
      <c r="F16" t="s">
        <v>22</v>
      </c>
      <c r="M16">
        <f>SUM(Ventas!M:M)</f>
        <v>17150</v>
      </c>
    </row>
    <row r="17" spans="1:14">
      <c r="A17" t="s">
        <v>23</v>
      </c>
      <c r="B17">
        <f>COUNTA(Compras!A2:A200)</f>
        <v>2</v>
      </c>
      <c r="C17" s="7">
        <f>SUM(Compras!F:F)</f>
        <v>69000</v>
      </c>
      <c r="D17" t="s">
        <v>24</v>
      </c>
      <c r="F17" t="s">
        <v>25</v>
      </c>
      <c r="M17">
        <f>SUM(Compras!F:F)</f>
        <v>69000</v>
      </c>
    </row>
    <row r="18" spans="1:14">
      <c r="A18" t="s">
        <v>26</v>
      </c>
      <c r="B18">
        <f>COUNTIF(Productos!H:H,"Activo")</f>
        <v>3</v>
      </c>
      <c r="C18" s="18">
        <f>SUM(Productos!G:G)</f>
        <v>306300</v>
      </c>
      <c r="D18" t="s">
        <v>27</v>
      </c>
      <c r="F18" t="s">
        <v>28</v>
      </c>
      <c r="M18">
        <f>SUM(Ventas!J:L)</f>
        <v>1350</v>
      </c>
    </row>
    <row r="19" spans="1:14">
      <c r="A19" t="s">
        <v>29</v>
      </c>
      <c r="B19">
        <f>COUNTIF(Productos!I:I,"Stock bajo")</f>
        <v>1</v>
      </c>
      <c r="D19" t="s">
        <v>30</v>
      </c>
      <c r="F19" t="s">
        <v>3</v>
      </c>
      <c r="M19">
        <f>M15-M16-M18</f>
        <v>5650</v>
      </c>
    </row>
    <row r="20" spans="1:14">
      <c r="A20" t="s">
        <v>31</v>
      </c>
      <c r="B20">
        <f>COUNTIF(Productos!I:I,"Agotado")</f>
        <v>1</v>
      </c>
      <c r="D20" t="s">
        <v>32</v>
      </c>
      <c r="F20" t="s">
        <v>33</v>
      </c>
      <c r="M20" s="4">
        <f>IFERROR(M19/M15,0)</f>
        <v>0.23395445134575568</v>
      </c>
    </row>
    <row r="21" spans="1:14">
      <c r="A21" t="s">
        <v>34</v>
      </c>
      <c r="C21" s="7">
        <f>SUM(Cooperativas!D:D)</f>
        <v>202000</v>
      </c>
      <c r="D21" t="s">
        <v>35</v>
      </c>
      <c r="F21" t="s">
        <v>36</v>
      </c>
      <c r="M21">
        <f>IFERROR(M15/COUNTA(Ventas!A2:A200),0)</f>
        <v>8050</v>
      </c>
    </row>
    <row r="24" spans="1:14">
      <c r="A24" s="22" t="s">
        <v>37</v>
      </c>
      <c r="B24" s="22"/>
      <c r="C24" s="22"/>
      <c r="D24" s="22"/>
      <c r="E24" s="22"/>
      <c r="F24" s="22"/>
      <c r="H24" s="22" t="s">
        <v>38</v>
      </c>
      <c r="I24" s="22"/>
      <c r="J24" s="22"/>
      <c r="K24" s="22"/>
      <c r="L24" s="22"/>
      <c r="M24" s="22"/>
      <c r="N24" s="22"/>
    </row>
    <row r="25" spans="1:14">
      <c r="A25" s="1" t="s">
        <v>39</v>
      </c>
      <c r="B25" s="1" t="s">
        <v>9</v>
      </c>
      <c r="C25" s="1" t="s">
        <v>10</v>
      </c>
      <c r="H25" s="1" t="s">
        <v>39</v>
      </c>
      <c r="I25" s="1" t="s">
        <v>40</v>
      </c>
      <c r="J25" s="1" t="s">
        <v>41</v>
      </c>
      <c r="K25" s="1" t="s">
        <v>42</v>
      </c>
    </row>
    <row r="26" spans="1:14">
      <c r="A26" t="s">
        <v>43</v>
      </c>
      <c r="B26">
        <v>28</v>
      </c>
      <c r="C26" s="7">
        <v>1500000</v>
      </c>
      <c r="H26" t="s">
        <v>44</v>
      </c>
      <c r="I26" t="s">
        <v>45</v>
      </c>
      <c r="J26" s="8">
        <v>2</v>
      </c>
      <c r="K26" s="10" t="s">
        <v>29</v>
      </c>
    </row>
    <row r="27" spans="1:14">
      <c r="A27" t="s">
        <v>46</v>
      </c>
      <c r="B27">
        <v>24</v>
      </c>
      <c r="C27" s="7">
        <v>1320000</v>
      </c>
      <c r="H27" t="s">
        <v>47</v>
      </c>
      <c r="I27" t="s">
        <v>48</v>
      </c>
      <c r="J27" s="8">
        <v>1</v>
      </c>
      <c r="K27" s="10" t="s">
        <v>29</v>
      </c>
    </row>
    <row r="28" spans="1:14">
      <c r="A28" t="s">
        <v>49</v>
      </c>
      <c r="B28">
        <v>21</v>
      </c>
      <c r="C28" s="7">
        <v>210000</v>
      </c>
      <c r="H28" t="s">
        <v>50</v>
      </c>
      <c r="I28" t="s">
        <v>51</v>
      </c>
      <c r="J28" s="8">
        <v>0</v>
      </c>
      <c r="K28" s="11" t="s">
        <v>52</v>
      </c>
    </row>
    <row r="29" spans="1:14">
      <c r="A29" t="s">
        <v>53</v>
      </c>
      <c r="B29">
        <v>20</v>
      </c>
      <c r="C29" s="7">
        <v>104000</v>
      </c>
      <c r="H29" t="s">
        <v>54</v>
      </c>
      <c r="I29" t="s">
        <v>55</v>
      </c>
      <c r="J29" s="8">
        <v>0</v>
      </c>
      <c r="K29" s="11" t="s">
        <v>52</v>
      </c>
      <c r="L29" s="9"/>
    </row>
    <row r="30" spans="1:14">
      <c r="A30" t="s">
        <v>56</v>
      </c>
      <c r="B30">
        <v>18</v>
      </c>
      <c r="C30" s="7">
        <v>36000</v>
      </c>
      <c r="H30" t="s">
        <v>57</v>
      </c>
      <c r="I30" t="s">
        <v>58</v>
      </c>
      <c r="J30" s="8">
        <v>2</v>
      </c>
      <c r="K30" s="10" t="s">
        <v>29</v>
      </c>
    </row>
    <row r="34" spans="1:2">
      <c r="A34" s="1" t="s">
        <v>59</v>
      </c>
      <c r="B34" s="1" t="s">
        <v>60</v>
      </c>
    </row>
    <row r="35" spans="1:2">
      <c r="A35" s="8">
        <v>1</v>
      </c>
      <c r="B35" s="7">
        <v>2450</v>
      </c>
    </row>
    <row r="36" spans="1:2">
      <c r="A36" s="8">
        <v>2</v>
      </c>
      <c r="B36" s="7">
        <v>18500</v>
      </c>
    </row>
    <row r="37" spans="1:2">
      <c r="A37" s="8">
        <v>3</v>
      </c>
      <c r="B37" s="7">
        <v>3200</v>
      </c>
    </row>
    <row r="38" spans="1:2">
      <c r="A38" s="8">
        <v>4</v>
      </c>
      <c r="B38" s="7">
        <v>0</v>
      </c>
    </row>
    <row r="39" spans="1:2">
      <c r="A39" s="8"/>
      <c r="B39" s="7"/>
    </row>
    <row r="40" spans="1:2">
      <c r="A40" s="8"/>
      <c r="B40" s="7"/>
    </row>
    <row r="41" spans="1:2">
      <c r="A41" s="8"/>
      <c r="B41" s="7"/>
    </row>
    <row r="42" spans="1:2">
      <c r="A42" s="8"/>
      <c r="B42" s="7"/>
    </row>
    <row r="43" spans="1:2">
      <c r="A43" s="8"/>
      <c r="B43" s="7"/>
    </row>
    <row r="44" spans="1:2">
      <c r="A44" s="8"/>
      <c r="B44" s="7"/>
    </row>
    <row r="45" spans="1:2">
      <c r="A45" s="8"/>
      <c r="B45" s="7"/>
    </row>
    <row r="46" spans="1:2">
      <c r="A46" s="8"/>
      <c r="B46" s="7"/>
    </row>
    <row r="47" spans="1:2">
      <c r="A47" s="8"/>
      <c r="B47" s="7"/>
    </row>
    <row r="48" spans="1:2">
      <c r="A48" s="8"/>
      <c r="B48" s="7"/>
    </row>
    <row r="49" spans="1:2">
      <c r="A49" s="8"/>
      <c r="B49" s="7"/>
    </row>
    <row r="50" spans="1:2">
      <c r="A50" s="8"/>
      <c r="B50" s="7"/>
    </row>
    <row r="51" spans="1:2">
      <c r="A51" s="8"/>
      <c r="B51" s="7"/>
    </row>
    <row r="52" spans="1:2">
      <c r="A52" s="8"/>
      <c r="B52" s="7"/>
    </row>
    <row r="53" spans="1:2">
      <c r="A53" s="8"/>
      <c r="B53" s="7"/>
    </row>
    <row r="54" spans="1:2">
      <c r="A54" s="8"/>
      <c r="B54" s="7"/>
    </row>
    <row r="55" spans="1:2">
      <c r="A55" s="8"/>
      <c r="B55" s="7"/>
    </row>
    <row r="56" spans="1:2">
      <c r="A56" s="8"/>
      <c r="B56" s="7"/>
    </row>
    <row r="57" spans="1:2">
      <c r="A57" s="8"/>
      <c r="B57" s="7"/>
    </row>
    <row r="58" spans="1:2">
      <c r="A58" s="8"/>
      <c r="B58" s="7"/>
    </row>
    <row r="59" spans="1:2">
      <c r="A59" s="8"/>
      <c r="B59" s="7"/>
    </row>
    <row r="60" spans="1:2">
      <c r="A60" s="8"/>
      <c r="B60" s="7"/>
    </row>
    <row r="61" spans="1:2">
      <c r="A61" s="8"/>
      <c r="B61" s="7"/>
    </row>
    <row r="62" spans="1:2">
      <c r="A62" s="8"/>
      <c r="B62" s="7"/>
    </row>
    <row r="63" spans="1:2">
      <c r="A63" s="8"/>
      <c r="B63" s="7"/>
    </row>
    <row r="64" spans="1:2">
      <c r="A64" s="8"/>
      <c r="B64" s="7"/>
    </row>
    <row r="65" spans="2:2">
      <c r="B65" s="7"/>
    </row>
  </sheetData>
  <mergeCells count="20">
    <mergeCell ref="A1:N1"/>
    <mergeCell ref="A2:N2"/>
    <mergeCell ref="A4:H4"/>
    <mergeCell ref="A5:H5"/>
    <mergeCell ref="J4:N4"/>
    <mergeCell ref="A12:N12"/>
    <mergeCell ref="F13:N13"/>
    <mergeCell ref="A24:F24"/>
    <mergeCell ref="H24:N24"/>
    <mergeCell ref="A7:C7"/>
    <mergeCell ref="A8:C9"/>
    <mergeCell ref="D7:F7"/>
    <mergeCell ref="D8:F9"/>
    <mergeCell ref="G7:I7"/>
    <mergeCell ref="G8:I9"/>
    <mergeCell ref="J7:K7"/>
    <mergeCell ref="J8:K9"/>
    <mergeCell ref="L7:M7"/>
    <mergeCell ref="L8:M9"/>
    <mergeCell ref="N8:N9"/>
  </mergeCells>
  <conditionalFormatting sqref="M19">
    <cfRule type="cellIs" dxfId="3" priority="1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"/>
  <sheetViews>
    <sheetView workbookViewId="0">
      <selection activeCell="D2" sqref="D2"/>
    </sheetView>
  </sheetViews>
  <sheetFormatPr baseColWidth="10" defaultColWidth="8.6640625" defaultRowHeight="14"/>
  <cols>
    <col min="1" max="1" width="9.58203125" style="8" customWidth="1"/>
    <col min="2" max="2" width="11" bestFit="1" customWidth="1"/>
    <col min="3" max="3" width="15.75" customWidth="1"/>
    <col min="4" max="4" width="13.9140625" customWidth="1"/>
    <col min="5" max="5" width="11.08203125" customWidth="1"/>
    <col min="6" max="6" width="8.4140625" customWidth="1"/>
    <col min="7" max="7" width="7.25" style="8" customWidth="1"/>
    <col min="8" max="8" width="11.58203125" style="7" customWidth="1"/>
    <col min="9" max="9" width="14.25" style="7" customWidth="1"/>
    <col min="10" max="10" width="15.75" style="7" customWidth="1"/>
    <col min="11" max="11" width="19.6640625" style="14" customWidth="1"/>
    <col min="12" max="12" width="10.5" style="7" customWidth="1"/>
    <col min="13" max="13" width="15.6640625" style="7" customWidth="1"/>
  </cols>
  <sheetData>
    <row r="1" spans="1:13">
      <c r="A1" s="5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42</v>
      </c>
      <c r="G1" s="1" t="s">
        <v>66</v>
      </c>
      <c r="H1" s="12" t="s">
        <v>10</v>
      </c>
      <c r="I1" s="12" t="s">
        <v>67</v>
      </c>
      <c r="J1" s="12" t="s">
        <v>68</v>
      </c>
      <c r="K1" s="13" t="s">
        <v>69</v>
      </c>
      <c r="L1" s="12" t="s">
        <v>6</v>
      </c>
      <c r="M1" s="12" t="s">
        <v>70</v>
      </c>
    </row>
    <row r="2" spans="1:13">
      <c r="A2" s="16">
        <v>46029</v>
      </c>
      <c r="B2" t="s">
        <v>71</v>
      </c>
      <c r="C2" t="s">
        <v>72</v>
      </c>
      <c r="E2" t="s">
        <v>73</v>
      </c>
      <c r="F2" t="s">
        <v>74</v>
      </c>
      <c r="G2" s="8">
        <v>2</v>
      </c>
      <c r="H2" s="7">
        <v>2450</v>
      </c>
      <c r="I2" s="7">
        <v>650</v>
      </c>
      <c r="J2" s="7">
        <v>0</v>
      </c>
      <c r="K2" s="14">
        <v>0</v>
      </c>
      <c r="L2" s="7">
        <v>0</v>
      </c>
      <c r="M2" s="7">
        <v>1800</v>
      </c>
    </row>
    <row r="3" spans="1:13">
      <c r="A3" s="16">
        <v>46088</v>
      </c>
      <c r="B3" t="s">
        <v>75</v>
      </c>
      <c r="C3" t="s">
        <v>76</v>
      </c>
      <c r="D3" t="s">
        <v>77</v>
      </c>
      <c r="E3" t="s">
        <v>78</v>
      </c>
      <c r="F3" t="s">
        <v>79</v>
      </c>
      <c r="G3" s="8">
        <v>1</v>
      </c>
      <c r="H3" s="7">
        <v>18500</v>
      </c>
      <c r="I3" s="7">
        <v>4200</v>
      </c>
      <c r="J3" s="7">
        <v>0</v>
      </c>
      <c r="K3" s="14">
        <v>920</v>
      </c>
      <c r="L3" s="7">
        <v>280</v>
      </c>
      <c r="M3" s="7">
        <v>13100</v>
      </c>
    </row>
    <row r="4" spans="1:13">
      <c r="A4" s="16">
        <v>46088</v>
      </c>
      <c r="B4" t="s">
        <v>80</v>
      </c>
      <c r="C4" t="s">
        <v>81</v>
      </c>
      <c r="D4" t="s">
        <v>82</v>
      </c>
      <c r="E4" t="s">
        <v>78</v>
      </c>
      <c r="F4" t="s">
        <v>74</v>
      </c>
      <c r="G4" s="8">
        <v>3</v>
      </c>
      <c r="H4" s="7">
        <v>3200</v>
      </c>
      <c r="I4" s="7">
        <v>800</v>
      </c>
      <c r="J4" s="7">
        <v>0</v>
      </c>
      <c r="K4" s="14">
        <v>150</v>
      </c>
      <c r="L4" s="7">
        <v>0</v>
      </c>
      <c r="M4" s="7">
        <v>2250</v>
      </c>
    </row>
  </sheetData>
  <conditionalFormatting sqref="I2:I100">
    <cfRule type="cellIs" dxfId="2" priority="1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"/>
  <sheetViews>
    <sheetView workbookViewId="0">
      <selection activeCell="A25" sqref="A25"/>
    </sheetView>
  </sheetViews>
  <sheetFormatPr baseColWidth="10" defaultColWidth="8.6640625" defaultRowHeight="14"/>
  <cols>
    <col min="1" max="1" width="17.6640625" customWidth="1"/>
    <col min="2" max="2" width="10.25" customWidth="1"/>
    <col min="3" max="3" width="9.1640625" customWidth="1"/>
    <col min="4" max="4" width="12.33203125" customWidth="1"/>
    <col min="5" max="5" width="7.1640625" style="8" customWidth="1"/>
    <col min="6" max="6" width="11.58203125" style="7" customWidth="1"/>
    <col min="7" max="7" width="15.25" style="7" customWidth="1"/>
    <col min="8" max="8" width="8.1640625" customWidth="1"/>
    <col min="9" max="9" width="10" customWidth="1"/>
  </cols>
  <sheetData>
    <row r="1" spans="1:9">
      <c r="A1" s="1" t="s">
        <v>39</v>
      </c>
      <c r="B1" s="1" t="s">
        <v>40</v>
      </c>
      <c r="C1" s="1" t="s">
        <v>83</v>
      </c>
      <c r="D1" s="1" t="s">
        <v>84</v>
      </c>
      <c r="E1" s="1" t="s">
        <v>41</v>
      </c>
      <c r="F1" s="12" t="s">
        <v>85</v>
      </c>
      <c r="G1" s="12" t="s">
        <v>86</v>
      </c>
      <c r="H1" s="1" t="s">
        <v>42</v>
      </c>
      <c r="I1" s="1" t="s">
        <v>87</v>
      </c>
    </row>
    <row r="2" spans="1:9">
      <c r="A2" t="s">
        <v>43</v>
      </c>
      <c r="B2" t="s">
        <v>88</v>
      </c>
      <c r="C2" t="s">
        <v>89</v>
      </c>
      <c r="D2" t="s">
        <v>90</v>
      </c>
      <c r="E2" s="8">
        <v>5</v>
      </c>
      <c r="F2" s="7">
        <v>61000</v>
      </c>
      <c r="G2" s="7">
        <f>E2*F2</f>
        <v>305000</v>
      </c>
      <c r="H2" t="s">
        <v>91</v>
      </c>
      <c r="I2" t="s">
        <v>92</v>
      </c>
    </row>
    <row r="3" spans="1:9">
      <c r="A3" t="s">
        <v>44</v>
      </c>
      <c r="B3" t="s">
        <v>45</v>
      </c>
      <c r="C3" t="s">
        <v>93</v>
      </c>
      <c r="D3" t="s">
        <v>94</v>
      </c>
      <c r="E3" s="8">
        <v>2</v>
      </c>
      <c r="F3" s="7">
        <v>650</v>
      </c>
      <c r="G3" s="7">
        <f>E3*F3</f>
        <v>1300</v>
      </c>
      <c r="H3" t="s">
        <v>91</v>
      </c>
      <c r="I3" t="s">
        <v>29</v>
      </c>
    </row>
    <row r="4" spans="1:9">
      <c r="A4" t="s">
        <v>50</v>
      </c>
      <c r="B4" t="s">
        <v>51</v>
      </c>
      <c r="C4" t="s">
        <v>95</v>
      </c>
      <c r="D4" t="s">
        <v>96</v>
      </c>
      <c r="E4" s="8">
        <v>0</v>
      </c>
      <c r="F4" s="7">
        <v>150</v>
      </c>
      <c r="G4" s="7">
        <f>E4*F4</f>
        <v>0</v>
      </c>
      <c r="H4" t="s">
        <v>91</v>
      </c>
      <c r="I4" t="s">
        <v>52</v>
      </c>
    </row>
  </sheetData>
  <conditionalFormatting sqref="I2:I100">
    <cfRule type="expression" dxfId="1" priority="1">
      <formula>I2="Agotado"</formula>
    </cfRule>
    <cfRule type="expression" dxfId="0" priority="2">
      <formula>I2="Stock bajo"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"/>
  <sheetViews>
    <sheetView workbookViewId="0">
      <selection activeCell="H9" sqref="H9"/>
    </sheetView>
  </sheetViews>
  <sheetFormatPr baseColWidth="10" defaultColWidth="8.6640625" defaultRowHeight="14"/>
  <cols>
    <col min="1" max="1" width="16.83203125" customWidth="1"/>
    <col min="2" max="2" width="9.4140625" customWidth="1"/>
    <col min="3" max="3" width="14.75" style="7" customWidth="1"/>
    <col min="4" max="4" width="13.75" style="7" customWidth="1"/>
    <col min="5" max="5" width="13.6640625" style="7" customWidth="1"/>
    <col min="6" max="6" width="11.58203125" style="7" customWidth="1"/>
  </cols>
  <sheetData>
    <row r="1" spans="1:6">
      <c r="A1" s="1" t="s">
        <v>64</v>
      </c>
      <c r="B1" s="1" t="s">
        <v>97</v>
      </c>
      <c r="C1" s="12" t="s">
        <v>98</v>
      </c>
      <c r="D1" s="12" t="s">
        <v>99</v>
      </c>
      <c r="E1" s="12" t="s">
        <v>100</v>
      </c>
      <c r="F1" s="12" t="s">
        <v>101</v>
      </c>
    </row>
    <row r="2" spans="1:6">
      <c r="A2" t="s">
        <v>77</v>
      </c>
      <c r="B2">
        <v>12</v>
      </c>
      <c r="C2" s="7">
        <v>240000</v>
      </c>
      <c r="D2" s="7">
        <v>85000</v>
      </c>
      <c r="E2" s="7">
        <v>155000</v>
      </c>
      <c r="F2" s="7">
        <v>9200</v>
      </c>
    </row>
    <row r="3" spans="1:6">
      <c r="A3" t="s">
        <v>82</v>
      </c>
      <c r="B3">
        <v>6</v>
      </c>
      <c r="C3" s="7">
        <v>130000</v>
      </c>
      <c r="D3" s="7">
        <v>45000</v>
      </c>
      <c r="E3" s="7">
        <v>85000</v>
      </c>
      <c r="F3" s="7">
        <v>5300</v>
      </c>
    </row>
    <row r="4" spans="1:6">
      <c r="A4" t="s">
        <v>102</v>
      </c>
      <c r="B4">
        <v>10</v>
      </c>
      <c r="C4" s="7">
        <v>215000</v>
      </c>
      <c r="D4" s="7">
        <v>72000</v>
      </c>
      <c r="E4" s="7">
        <v>143000</v>
      </c>
      <c r="F4" s="7">
        <v>7800</v>
      </c>
    </row>
  </sheetData>
  <conditionalFormatting sqref="D2:D100">
    <cfRule type="dataBar" priority="1">
      <dataBar>
        <cfvo type="min"/>
        <cfvo type="max"/>
        <color rgb="FFB80000"/>
      </dataBar>
    </cfRule>
    <cfRule type="dataBar" priority="2">
      <dataBar>
        <cfvo type="min"/>
        <cfvo type="max"/>
        <color rgb="FFB80000"/>
      </dataBar>
      <extLst>
        <ext xmlns:x14="http://schemas.microsoft.com/office/spreadsheetml/2009/9/main" uri="{B025F937-C7B1-47D3-B67F-A62EFF666E3E}">
          <x14:id>{8EC09924-3E4C-C966-18B4-F04176DEE59F}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EC09924-3E4C-C966-18B4-F04176DEE59F}">
            <x14:dataBar>
              <x14:cfvo type="min"/>
              <x14:cfvo type="max"/>
              <x14:negativeFillColor auto="1"/>
              <x14:axisColor auto="1"/>
            </x14:dataBar>
          </x14:cfRule>
          <xm:sqref>D2:D100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"/>
  <sheetViews>
    <sheetView workbookViewId="0">
      <selection activeCell="B8" sqref="B8"/>
    </sheetView>
  </sheetViews>
  <sheetFormatPr baseColWidth="10" defaultColWidth="8.6640625" defaultRowHeight="14"/>
  <cols>
    <col min="1" max="1" width="10" customWidth="1"/>
    <col min="2" max="2" width="15.58203125" customWidth="1"/>
    <col min="3" max="3" width="12.1640625" customWidth="1"/>
    <col min="4" max="4" width="23.5" customWidth="1"/>
    <col min="5" max="5" width="10.25" style="8" customWidth="1"/>
    <col min="6" max="6" width="18" style="7" customWidth="1"/>
    <col min="7" max="7" width="14.33203125" customWidth="1"/>
  </cols>
  <sheetData>
    <row r="1" spans="1:7">
      <c r="A1" s="5" t="s">
        <v>61</v>
      </c>
      <c r="B1" s="1" t="s">
        <v>103</v>
      </c>
      <c r="C1" s="1" t="s">
        <v>104</v>
      </c>
      <c r="D1" s="1" t="s">
        <v>105</v>
      </c>
      <c r="E1" s="1" t="s">
        <v>106</v>
      </c>
      <c r="F1" s="17" t="s">
        <v>137</v>
      </c>
      <c r="G1" s="12" t="s">
        <v>107</v>
      </c>
    </row>
    <row r="2" spans="1:7">
      <c r="A2" s="15">
        <v>46029</v>
      </c>
      <c r="B2" t="s">
        <v>108</v>
      </c>
      <c r="C2" t="s">
        <v>109</v>
      </c>
      <c r="D2" t="s">
        <v>136</v>
      </c>
      <c r="E2" s="8">
        <v>10</v>
      </c>
      <c r="F2" s="7">
        <v>18200</v>
      </c>
      <c r="G2" s="7">
        <f>ComprasTable[[#This Row],[Precio Por unidad]]*ComprasTable[[#This Row],[Unidades]]</f>
        <v>182000</v>
      </c>
    </row>
    <row r="3" spans="1:7">
      <c r="A3" s="15">
        <v>46029</v>
      </c>
      <c r="B3" t="s">
        <v>110</v>
      </c>
      <c r="C3" t="s">
        <v>111</v>
      </c>
      <c r="D3" t="s">
        <v>135</v>
      </c>
      <c r="E3" s="8">
        <v>6</v>
      </c>
      <c r="F3" s="7">
        <v>50800</v>
      </c>
      <c r="G3" s="7">
        <f>ComprasTable[[#This Row],[Precio Por unidad]]*ComprasTable[[#This Row],[Unidades]]</f>
        <v>304800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4"/>
  <sheetViews>
    <sheetView workbookViewId="0"/>
  </sheetViews>
  <sheetFormatPr baseColWidth="10" defaultColWidth="8.6640625" defaultRowHeight="14"/>
  <cols>
    <col min="1" max="1" width="22" customWidth="1"/>
    <col min="2" max="2" width="36" customWidth="1"/>
  </cols>
  <sheetData>
    <row r="1" spans="1:2">
      <c r="A1" s="1" t="s">
        <v>112</v>
      </c>
      <c r="B1" s="1" t="s">
        <v>16</v>
      </c>
    </row>
    <row r="2" spans="1:2">
      <c r="A2" t="s">
        <v>113</v>
      </c>
      <c r="B2" t="s">
        <v>114</v>
      </c>
    </row>
    <row r="3" spans="1:2">
      <c r="A3" t="s">
        <v>115</v>
      </c>
      <c r="B3" s="2">
        <v>46204</v>
      </c>
    </row>
    <row r="4" spans="1:2">
      <c r="A4" t="s">
        <v>116</v>
      </c>
      <c r="B4" s="2">
        <v>46234</v>
      </c>
    </row>
    <row r="5" spans="1:2">
      <c r="A5" t="s">
        <v>117</v>
      </c>
      <c r="B5" t="s">
        <v>118</v>
      </c>
    </row>
    <row r="6" spans="1:2">
      <c r="A6" t="s">
        <v>119</v>
      </c>
      <c r="B6" s="3">
        <v>46211.447916666664</v>
      </c>
    </row>
    <row r="7" spans="1:2">
      <c r="A7" t="s">
        <v>120</v>
      </c>
      <c r="B7" t="s">
        <v>121</v>
      </c>
    </row>
    <row r="8" spans="1:2">
      <c r="A8" t="s">
        <v>122</v>
      </c>
      <c r="B8" t="s">
        <v>123</v>
      </c>
    </row>
    <row r="9" spans="1:2">
      <c r="A9" t="s">
        <v>124</v>
      </c>
      <c r="B9" t="s">
        <v>125</v>
      </c>
    </row>
    <row r="10" spans="1:2">
      <c r="A10" t="s">
        <v>126</v>
      </c>
      <c r="B10" t="s">
        <v>127</v>
      </c>
    </row>
    <row r="11" spans="1:2">
      <c r="A11" t="s">
        <v>128</v>
      </c>
      <c r="B11" t="s">
        <v>129</v>
      </c>
    </row>
    <row r="12" spans="1:2">
      <c r="A12" t="s">
        <v>130</v>
      </c>
      <c r="B12" t="s">
        <v>131</v>
      </c>
    </row>
    <row r="13" spans="1:2">
      <c r="A13" t="s">
        <v>132</v>
      </c>
      <c r="B13" t="s">
        <v>133</v>
      </c>
    </row>
    <row r="14" spans="1:2">
      <c r="A14" t="s">
        <v>11</v>
      </c>
      <c r="B14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Reporte</vt:lpstr>
      <vt:lpstr>Ventas</vt:lpstr>
      <vt:lpstr>Productos</vt:lpstr>
      <vt:lpstr>Cooperativas</vt:lpstr>
      <vt:lpstr>Compras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Castellanos</dc:creator>
  <cp:lastModifiedBy>Albert Castellanos</cp:lastModifiedBy>
  <dcterms:modified xsi:type="dcterms:W3CDTF">2026-07-09T04:11:55Z</dcterms:modified>
</cp:coreProperties>
</file>